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محاسبه قیمت" sheetId="1" state="visible" r:id="rId3"/>
    <sheet name="پارامترهای مدل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<sst xmlns="http://schemas.openxmlformats.org/spreadsheetml/2006/main" count="40" uniqueCount="27">
  <si>
    <t xml:space="preserve">ویژگی</t>
  </si>
  <si>
    <t xml:space="preserve">مقدار ورودی</t>
  </si>
  <si>
    <t xml:space="preserve">میانگین</t>
  </si>
  <si>
    <t xml:space="preserve">انحراف معیار</t>
  </si>
  <si>
    <t xml:space="preserve">مقدار نرمال‌سازی شده</t>
  </si>
  <si>
    <t xml:space="preserve">ضریب</t>
  </si>
  <si>
    <r>
      <rPr>
        <b val="true"/>
        <sz val="12"/>
        <color rgb="FFFFFFFF"/>
        <rFont val="Noto Sans Devanagari"/>
        <family val="2"/>
      </rPr>
      <t xml:space="preserve">ضریب </t>
    </r>
    <r>
      <rPr>
        <b val="true"/>
        <sz val="12"/>
        <color rgb="FFFFFFFF"/>
        <rFont val="Cambria"/>
        <family val="0"/>
        <charset val="1"/>
      </rPr>
      <t xml:space="preserve">× </t>
    </r>
    <r>
      <rPr>
        <b val="true"/>
        <sz val="12"/>
        <color rgb="FFFFFFFF"/>
        <rFont val="Noto Sans Devanagari"/>
        <family val="2"/>
      </rPr>
      <t xml:space="preserve">نرمال‌سازی شده</t>
    </r>
  </si>
  <si>
    <t xml:space="preserve">Area(m2)</t>
  </si>
  <si>
    <t xml:space="preserve">Rooms</t>
  </si>
  <si>
    <t xml:space="preserve">Age</t>
  </si>
  <si>
    <t xml:space="preserve">Distance-to-center</t>
  </si>
  <si>
    <t xml:space="preserve">Parking</t>
  </si>
  <si>
    <t xml:space="preserve">Floor</t>
  </si>
  <si>
    <t xml:space="preserve">Elevator</t>
  </si>
  <si>
    <t xml:space="preserve">Renovated</t>
  </si>
  <si>
    <t xml:space="preserve">Balcony</t>
  </si>
  <si>
    <t xml:space="preserve">View</t>
  </si>
  <si>
    <r>
      <rPr>
        <b val="true"/>
        <sz val="11"/>
        <rFont val="Cambria"/>
        <family val="0"/>
        <charset val="1"/>
      </rPr>
      <t xml:space="preserve">Intercept (</t>
    </r>
    <r>
      <rPr>
        <b val="true"/>
        <sz val="11"/>
        <rFont val="Noto Sans Devanagari"/>
        <family val="2"/>
      </rPr>
      <t xml:space="preserve">قیمت پایه</t>
    </r>
    <r>
      <rPr>
        <b val="true"/>
        <sz val="11"/>
        <rFont val="Cambria"/>
        <family val="0"/>
        <charset val="1"/>
      </rPr>
      <t xml:space="preserve">)</t>
    </r>
  </si>
  <si>
    <t xml:space="preserve">مجموع تأثیرات</t>
  </si>
  <si>
    <t xml:space="preserve">قیمت پیش‌بینی شده</t>
  </si>
  <si>
    <t xml:space="preserve">ضریب رگرسیون</t>
  </si>
  <si>
    <t xml:space="preserve">Intercept</t>
  </si>
  <si>
    <r>
      <rPr>
        <b val="true"/>
        <sz val="11"/>
        <rFont val="Noto Sans Devanagari"/>
        <family val="2"/>
      </rPr>
      <t xml:space="preserve">توضیحات</t>
    </r>
    <r>
      <rPr>
        <b val="true"/>
        <sz val="11"/>
        <rFont val="Cambria"/>
        <family val="0"/>
        <charset val="1"/>
      </rPr>
      <t xml:space="preserve">:</t>
    </r>
  </si>
  <si>
    <r>
      <rPr>
        <sz val="11"/>
        <color theme="1"/>
        <rFont val="Noto Sans Devanagari"/>
        <family val="2"/>
      </rPr>
      <t xml:space="preserve">فرمول محاسبه قیمت</t>
    </r>
    <r>
      <rPr>
        <sz val="11"/>
        <color theme="1"/>
        <rFont val="Calibri"/>
        <family val="2"/>
        <charset val="1"/>
      </rPr>
      <t xml:space="preserve">:</t>
    </r>
  </si>
  <si>
    <t xml:space="preserve">Price = Intercept + Σ(Coefficient_i × Normalized_Feature_i)</t>
  </si>
  <si>
    <r>
      <rPr>
        <sz val="11"/>
        <color theme="1"/>
        <rFont val="Noto Sans Devanagari"/>
        <family val="2"/>
      </rPr>
      <t xml:space="preserve">فرمول نرمال‌سازی</t>
    </r>
    <r>
      <rPr>
        <sz val="11"/>
        <color theme="1"/>
        <rFont val="Calibri"/>
        <family val="2"/>
        <charset val="1"/>
      </rPr>
      <t xml:space="preserve">:</t>
    </r>
  </si>
  <si>
    <t xml:space="preserve">Normalized_Feature = (Feature_Value - Mean) / Std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</si>
</sst>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FFFFFF"/>
      <name val="Noto Sans Devanagari"/>
      <family val="2"/>
    </font>
    <font>
      <b val="true"/>
      <sz val="12"/>
      <color rgb="FFFFFFFF"/>
      <name val="Cambria"/>
      <family val="0"/>
      <charset val="1"/>
    </font>
    <font>
      <b val="true"/>
      <sz val="11"/>
      <name val="Cambria"/>
      <family val="0"/>
      <charset val="1"/>
    </font>
    <font>
      <b val="true"/>
      <sz val="11"/>
      <name val="Noto Sans Devanagari"/>
      <family val="2"/>
    </font>
    <font>
      <b val="true"/>
      <sz val="14"/>
      <name val="Noto Sans Devanagari"/>
      <family val="2"/>
    </font>
    <font>
      <b val="true"/>
      <sz val="14"/>
      <name val="Cambria"/>
      <family val="0"/>
      <charset val="1"/>
    </font>
    <font>
      <sz val="11"/>
      <color theme="1"/>
      <name val="Noto Sans Devanagari"/>
      <family val="2"/>
    </font>
  </fonts>
  <fills count="6">
    <fill>
      <patternFill patternType="none"/>
    </fill>
    <fill>
      <patternFill patternType="gray125"/>
    </fill>
    <fill>
      <patternFill patternType="solid">
        <fgColor rgb="FF366092"/>
        <bgColor rgb="FF333399"/>
      </patternFill>
    </fill>
    <fill>
      <patternFill patternType="solid">
        <fgColor rgb="FFE7F3FF"/>
        <bgColor rgb="FFFFFFFF"/>
      </patternFill>
    </fill>
    <fill>
      <patternFill patternType="solid">
        <fgColor rgb="FFFFF2CC"/>
        <bgColor rgb="FFFFFFFF"/>
      </patternFill>
    </fill>
    <fill>
      <patternFill patternType="solid">
        <fgColor rgb="FFC6EFCE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4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E7F3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366092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9" activeCellId="0" sqref="D9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7.72"/>
    <col collapsed="false" customWidth="true" hidden="false" outlineLevel="0" max="2" min="2" style="0" width="18"/>
    <col collapsed="false" customWidth="true" hidden="false" outlineLevel="0" max="3" min="3" style="0" width="15"/>
    <col collapsed="false" customWidth="true" hidden="false" outlineLevel="0" max="4" min="4" style="0" width="19.93"/>
    <col collapsed="false" customWidth="true" hidden="false" outlineLevel="0" max="5" min="5" style="0" width="26.47"/>
    <col collapsed="false" customWidth="true" hidden="false" outlineLevel="0" max="6" min="6" style="0" width="20.63"/>
    <col collapsed="false" customWidth="true" hidden="false" outlineLevel="0" max="7" min="7" style="0" width="28.7"/>
  </cols>
  <sheetData>
    <row r="1" customFormat="false" ht="17.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15" hidden="false" customHeight="false" outlineLevel="0" collapsed="false">
      <c r="A2" s="2" t="s">
        <v>7</v>
      </c>
      <c r="B2" s="3"/>
      <c r="C2" s="2" t="n">
        <v>107.5</v>
      </c>
      <c r="D2" s="2" t="n">
        <v>42.441135705822</v>
      </c>
      <c r="E2" s="4" t="n">
        <f aca="false">IF(ISBLANK(B2),0,(B2-C2)/D2)</f>
        <v>0</v>
      </c>
      <c r="F2" s="2" t="n">
        <v>3.05178966045811</v>
      </c>
      <c r="G2" s="4" t="n">
        <f aca="false">F2*E2</f>
        <v>0</v>
      </c>
    </row>
    <row r="3" customFormat="false" ht="15" hidden="false" customHeight="false" outlineLevel="0" collapsed="false">
      <c r="A3" s="2" t="s">
        <v>8</v>
      </c>
      <c r="B3" s="3"/>
      <c r="C3" s="2" t="n">
        <v>2.3</v>
      </c>
      <c r="D3" s="2" t="n">
        <v>1.00498756211209</v>
      </c>
      <c r="E3" s="4" t="n">
        <f aca="false">IF(ISBLANK(B3),0,(B3-C3)/D3)</f>
        <v>0</v>
      </c>
      <c r="F3" s="2" t="n">
        <v>-2.21922314491338</v>
      </c>
      <c r="G3" s="4" t="n">
        <f aca="false">F3*E3</f>
        <v>-0</v>
      </c>
    </row>
    <row r="4" customFormat="false" ht="15" hidden="false" customHeight="false" outlineLevel="0" collapsed="false">
      <c r="A4" s="2" t="s">
        <v>9</v>
      </c>
      <c r="B4" s="3"/>
      <c r="C4" s="2" t="n">
        <v>13.4</v>
      </c>
      <c r="D4" s="2" t="n">
        <v>8.60464990571958</v>
      </c>
      <c r="E4" s="4" t="n">
        <f aca="false">IF(ISBLANK(B4),0,(B4-C4)/D4)</f>
        <v>0</v>
      </c>
      <c r="F4" s="2" t="n">
        <v>-0.3012065139937</v>
      </c>
      <c r="G4" s="4" t="n">
        <f aca="false">F4*E4</f>
        <v>-0</v>
      </c>
    </row>
    <row r="5" customFormat="false" ht="15" hidden="false" customHeight="false" outlineLevel="0" collapsed="false">
      <c r="A5" s="2" t="s">
        <v>10</v>
      </c>
      <c r="B5" s="3"/>
      <c r="C5" s="2" t="n">
        <v>7.6</v>
      </c>
      <c r="D5" s="2" t="n">
        <v>3.58022345671328</v>
      </c>
      <c r="E5" s="4" t="n">
        <f aca="false">IF(ISBLANK(B5),0,(B5-C5)/D5)</f>
        <v>0</v>
      </c>
      <c r="F5" s="2" t="n">
        <v>0.930202513575353</v>
      </c>
      <c r="G5" s="4" t="n">
        <f aca="false">F5*E5</f>
        <v>0</v>
      </c>
    </row>
    <row r="6" customFormat="false" ht="15" hidden="false" customHeight="false" outlineLevel="0" collapsed="false">
      <c r="A6" s="2" t="s">
        <v>11</v>
      </c>
      <c r="B6" s="3"/>
      <c r="C6" s="2" t="n">
        <v>0.6</v>
      </c>
      <c r="D6" s="2" t="n">
        <v>0.489897948556636</v>
      </c>
      <c r="E6" s="4" t="n">
        <f aca="false">IF(ISBLANK(B6),0,(B6-C6)/D6)</f>
        <v>0</v>
      </c>
      <c r="F6" s="2" t="n">
        <v>0.587698124980599</v>
      </c>
      <c r="G6" s="4" t="n">
        <f aca="false">F6*E6</f>
        <v>0</v>
      </c>
    </row>
    <row r="7" customFormat="false" ht="15" hidden="false" customHeight="false" outlineLevel="0" collapsed="false">
      <c r="A7" s="2" t="s">
        <v>12</v>
      </c>
      <c r="B7" s="3"/>
      <c r="C7" s="2" t="n">
        <v>5.3</v>
      </c>
      <c r="D7" s="2" t="n">
        <v>2.96816441593117</v>
      </c>
      <c r="E7" s="4" t="n">
        <f aca="false">IF(ISBLANK(B7),0,(B7-C7)/D7)</f>
        <v>0</v>
      </c>
      <c r="F7" s="2" t="n">
        <v>0.2550568140526</v>
      </c>
      <c r="G7" s="4" t="n">
        <f aca="false">F7*E7</f>
        <v>0</v>
      </c>
    </row>
    <row r="8" customFormat="false" ht="15" hidden="false" customHeight="false" outlineLevel="0" collapsed="false">
      <c r="A8" s="2" t="s">
        <v>13</v>
      </c>
      <c r="B8" s="3"/>
      <c r="C8" s="2" t="n">
        <v>0.7</v>
      </c>
      <c r="D8" s="2" t="n">
        <v>0.458257569495584</v>
      </c>
      <c r="E8" s="4" t="n">
        <f aca="false">IF(ISBLANK(B8),0,(B8-C8)/D8)</f>
        <v>0</v>
      </c>
      <c r="F8" s="2" t="n">
        <v>1.09082084116248</v>
      </c>
      <c r="G8" s="4" t="n">
        <f aca="false">F8*E8</f>
        <v>0</v>
      </c>
    </row>
    <row r="9" customFormat="false" ht="15" hidden="false" customHeight="false" outlineLevel="0" collapsed="false">
      <c r="A9" s="2" t="s">
        <v>14</v>
      </c>
      <c r="B9" s="3"/>
      <c r="C9" s="2" t="n">
        <v>0.5</v>
      </c>
      <c r="D9" s="2" t="n">
        <v>0.5</v>
      </c>
      <c r="E9" s="4" t="n">
        <f aca="false">IF(ISBLANK(B9),0,(B9-C9)/D9)</f>
        <v>0</v>
      </c>
      <c r="F9" s="2" t="n">
        <v>0.216548830111901</v>
      </c>
      <c r="G9" s="4" t="n">
        <f aca="false">F9*E9</f>
        <v>0</v>
      </c>
    </row>
    <row r="10" customFormat="false" ht="15" hidden="false" customHeight="false" outlineLevel="0" collapsed="false">
      <c r="A10" s="2" t="s">
        <v>15</v>
      </c>
      <c r="B10" s="3"/>
      <c r="C10" s="2" t="n">
        <v>0.5</v>
      </c>
      <c r="D10" s="2" t="n">
        <v>0.5</v>
      </c>
      <c r="E10" s="4" t="n">
        <f aca="false">IF(ISBLANK(B10),0,(B10-C10)/D10)</f>
        <v>0</v>
      </c>
      <c r="F10" s="2" t="n">
        <v>-0.225559511698881</v>
      </c>
      <c r="G10" s="4" t="n">
        <f aca="false">F10*E10</f>
        <v>-0</v>
      </c>
    </row>
    <row r="11" customFormat="false" ht="15" hidden="false" customHeight="false" outlineLevel="0" collapsed="false">
      <c r="A11" s="2" t="s">
        <v>16</v>
      </c>
      <c r="B11" s="3"/>
      <c r="C11" s="2" t="n">
        <v>0.5</v>
      </c>
      <c r="D11" s="2" t="n">
        <v>0.5</v>
      </c>
      <c r="E11" s="4" t="n">
        <f aca="false">IF(ISBLANK(B11),0,(B11-C11)/D11)</f>
        <v>0</v>
      </c>
      <c r="F11" s="2" t="n">
        <v>0.216548830111902</v>
      </c>
      <c r="G11" s="4" t="n">
        <f aca="false">F11*E11</f>
        <v>0</v>
      </c>
    </row>
    <row r="12" customFormat="false" ht="16.4" hidden="false" customHeight="false" outlineLevel="0" collapsed="false">
      <c r="A12" s="5" t="s">
        <v>17</v>
      </c>
      <c r="B12" s="6" t="n">
        <v>3.64</v>
      </c>
    </row>
    <row r="13" customFormat="false" ht="15" hidden="false" customHeight="false" outlineLevel="0" collapsed="false">
      <c r="A13" s="7" t="s">
        <v>18</v>
      </c>
      <c r="B13" s="4" t="n">
        <f aca="false">SUM(G2:G11)</f>
        <v>0</v>
      </c>
    </row>
    <row r="14" customFormat="false" ht="17.35" hidden="false" customHeight="false" outlineLevel="0" collapsed="false">
      <c r="A14" s="8" t="s">
        <v>19</v>
      </c>
      <c r="B14" s="9" t="n">
        <f aca="false">B12+B13</f>
        <v>3.64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9" activeCellId="0" sqref="A19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9.7"/>
    <col collapsed="false" customWidth="true" hidden="false" outlineLevel="0" max="2" min="2" style="0" width="15"/>
    <col collapsed="false" customWidth="true" hidden="false" outlineLevel="0" max="3" min="3" style="0" width="19.93"/>
    <col collapsed="false" customWidth="true" hidden="false" outlineLevel="0" max="4" min="4" style="0" width="18"/>
  </cols>
  <sheetData>
    <row r="1" customFormat="false" ht="15" hidden="false" customHeight="false" outlineLevel="0" collapsed="false">
      <c r="A1" s="1" t="s">
        <v>0</v>
      </c>
      <c r="B1" s="1" t="s">
        <v>2</v>
      </c>
      <c r="C1" s="1" t="s">
        <v>3</v>
      </c>
      <c r="D1" s="1" t="s">
        <v>20</v>
      </c>
    </row>
    <row r="2" customFormat="false" ht="15" hidden="false" customHeight="false" outlineLevel="0" collapsed="false">
      <c r="A2" s="2" t="s">
        <v>7</v>
      </c>
      <c r="B2" s="2" t="n">
        <v>107.5</v>
      </c>
      <c r="C2" s="2" t="n">
        <v>42.441135705822</v>
      </c>
      <c r="D2" s="2" t="n">
        <v>3.05178966045811</v>
      </c>
    </row>
    <row r="3" customFormat="false" ht="15" hidden="false" customHeight="false" outlineLevel="0" collapsed="false">
      <c r="A3" s="2" t="s">
        <v>8</v>
      </c>
      <c r="B3" s="2" t="n">
        <v>2.3</v>
      </c>
      <c r="C3" s="2" t="n">
        <v>1.00498756211209</v>
      </c>
      <c r="D3" s="2" t="n">
        <v>-2.21922314491338</v>
      </c>
    </row>
    <row r="4" customFormat="false" ht="15" hidden="false" customHeight="false" outlineLevel="0" collapsed="false">
      <c r="A4" s="2" t="s">
        <v>9</v>
      </c>
      <c r="B4" s="2" t="n">
        <v>13.4</v>
      </c>
      <c r="C4" s="2" t="n">
        <v>8.60464990571958</v>
      </c>
      <c r="D4" s="2" t="n">
        <v>-0.3012065139937</v>
      </c>
    </row>
    <row r="5" customFormat="false" ht="15" hidden="false" customHeight="false" outlineLevel="0" collapsed="false">
      <c r="A5" s="2" t="s">
        <v>10</v>
      </c>
      <c r="B5" s="2" t="n">
        <v>7.6</v>
      </c>
      <c r="C5" s="2" t="n">
        <v>3.58022345671328</v>
      </c>
      <c r="D5" s="2" t="n">
        <v>0.930202513575353</v>
      </c>
    </row>
    <row r="6" customFormat="false" ht="15" hidden="false" customHeight="false" outlineLevel="0" collapsed="false">
      <c r="A6" s="2" t="s">
        <v>11</v>
      </c>
      <c r="B6" s="2" t="n">
        <v>0.6</v>
      </c>
      <c r="C6" s="2" t="n">
        <v>0.489897948556636</v>
      </c>
      <c r="D6" s="2" t="n">
        <v>0.587698124980599</v>
      </c>
    </row>
    <row r="7" customFormat="false" ht="15" hidden="false" customHeight="false" outlineLevel="0" collapsed="false">
      <c r="A7" s="2" t="s">
        <v>12</v>
      </c>
      <c r="B7" s="2" t="n">
        <v>5.3</v>
      </c>
      <c r="C7" s="2" t="n">
        <v>2.96816441593117</v>
      </c>
      <c r="D7" s="2" t="n">
        <v>0.2550568140526</v>
      </c>
    </row>
    <row r="8" customFormat="false" ht="15" hidden="false" customHeight="false" outlineLevel="0" collapsed="false">
      <c r="A8" s="2" t="s">
        <v>13</v>
      </c>
      <c r="B8" s="2" t="n">
        <v>0.7</v>
      </c>
      <c r="C8" s="2" t="n">
        <v>0.458257569495584</v>
      </c>
      <c r="D8" s="2" t="n">
        <v>1.09082084116248</v>
      </c>
    </row>
    <row r="9" customFormat="false" ht="15" hidden="false" customHeight="false" outlineLevel="0" collapsed="false">
      <c r="A9" s="2" t="s">
        <v>14</v>
      </c>
      <c r="B9" s="2" t="n">
        <v>0.5</v>
      </c>
      <c r="C9" s="2" t="n">
        <v>0.5</v>
      </c>
      <c r="D9" s="2" t="n">
        <v>0.216548830111901</v>
      </c>
    </row>
    <row r="10" customFormat="false" ht="15" hidden="false" customHeight="false" outlineLevel="0" collapsed="false">
      <c r="A10" s="2" t="s">
        <v>15</v>
      </c>
      <c r="B10" s="2" t="n">
        <v>0.5</v>
      </c>
      <c r="C10" s="2" t="n">
        <v>0.5</v>
      </c>
      <c r="D10" s="2" t="n">
        <v>-0.225559511698881</v>
      </c>
    </row>
    <row r="11" customFormat="false" ht="15" hidden="false" customHeight="false" outlineLevel="0" collapsed="false">
      <c r="A11" s="2" t="s">
        <v>16</v>
      </c>
      <c r="B11" s="2" t="n">
        <v>0.5</v>
      </c>
      <c r="C11" s="2" t="n">
        <v>0.5</v>
      </c>
      <c r="D11" s="2" t="n">
        <v>0.216548830111902</v>
      </c>
    </row>
    <row r="12" customFormat="false" ht="15" hidden="false" customHeight="false" outlineLevel="0" collapsed="false">
      <c r="A12" s="5" t="s">
        <v>21</v>
      </c>
      <c r="B12" s="10" t="n">
        <v>3.64</v>
      </c>
    </row>
    <row r="14" customFormat="false" ht="16.4" hidden="false" customHeight="false" outlineLevel="0" collapsed="false">
      <c r="A14" s="7" t="s">
        <v>22</v>
      </c>
    </row>
    <row r="15" customFormat="false" ht="16.4" hidden="false" customHeight="false" outlineLevel="0" collapsed="false">
      <c r="A15" s="11" t="s">
        <v>23</v>
      </c>
    </row>
    <row r="16" customFormat="false" ht="15" hidden="false" customHeight="false" outlineLevel="0" collapsed="false">
      <c r="A16" s="0" t="s">
        <v>24</v>
      </c>
    </row>
    <row r="18" customFormat="false" ht="16.4" hidden="false" customHeight="false" outlineLevel="0" collapsed="false">
      <c r="A18" s="11" t="s">
        <v>25</v>
      </c>
    </row>
    <row r="19" customFormat="false" ht="15" hidden="false" customHeight="false" outlineLevel="0" collapsed="false">
      <c r="A19" s="0" t="s">
        <v>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2025-12-02T19:44:35Z</dcterms:created>
  <dc:creator>openpyxl</dc:creator>
  <dc:description/>
  <dc:language>en-US</dc:language>
  <cp:lastModifiedBy/>
  <dcterms:modified xsi:type="dcterms:W3CDTF">2025-12-02T23:26:01Z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