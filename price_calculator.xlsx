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حاسبه قیمت" sheetId="1" state="visible" r:id="rId1"/>
    <sheet xmlns:r="http://schemas.openxmlformats.org/officeDocument/2006/relationships" name="پارامترهای مد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F3FF"/>
        <bgColor rgb="00E7F3FF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0" borderId="0" pivotButton="0" quotePrefix="0" xfId="0"/>
    <xf numFmtId="0" fontId="0" fillId="4" borderId="1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8" customWidth="1" min="4" max="4"/>
    <col width="25" customWidth="1" min="5" max="5"/>
    <col width="15" customWidth="1" min="6" max="6"/>
    <col width="30" customWidth="1" min="7" max="7"/>
  </cols>
  <sheetData>
    <row r="1">
      <c r="A1" s="1" t="inlineStr">
        <is>
          <t>ویژگی</t>
        </is>
      </c>
      <c r="B1" s="1" t="inlineStr">
        <is>
          <t>مقدار ورودی</t>
        </is>
      </c>
      <c r="C1" s="1" t="inlineStr">
        <is>
          <t>میانگین</t>
        </is>
      </c>
      <c r="D1" s="1" t="inlineStr">
        <is>
          <t>انحراف معیار</t>
        </is>
      </c>
      <c r="E1" s="1" t="inlineStr">
        <is>
          <t>مقدار نرمال‌سازی شده</t>
        </is>
      </c>
      <c r="F1" s="1" t="inlineStr">
        <is>
          <t>ضریب</t>
        </is>
      </c>
      <c r="G1" s="1" t="inlineStr">
        <is>
          <t>ضریب × نرمال‌سازی شده</t>
        </is>
      </c>
    </row>
    <row r="2">
      <c r="A2" s="2" t="inlineStr">
        <is>
          <t>Area(m2)</t>
        </is>
      </c>
      <c r="B2" s="3" t="n"/>
      <c r="C2" s="2" t="n">
        <v>107.5</v>
      </c>
      <c r="D2" s="2" t="n">
        <v>42.44113570582201</v>
      </c>
      <c r="E2" s="4">
        <f>IF(ISBLANK(B2),0,(B2-C2)/D2)</f>
        <v/>
      </c>
      <c r="F2" s="2" t="n">
        <v>3.051789660458114</v>
      </c>
      <c r="G2" s="4">
        <f>F2*E2</f>
        <v/>
      </c>
    </row>
    <row r="3">
      <c r="A3" s="2" t="inlineStr">
        <is>
          <t>Rooms</t>
        </is>
      </c>
      <c r="B3" s="3" t="n"/>
      <c r="C3" s="2" t="n">
        <v>2.3</v>
      </c>
      <c r="D3" s="2" t="n">
        <v>1.004987562112089</v>
      </c>
      <c r="E3" s="4">
        <f>IF(ISBLANK(B3),0,(B3-C3)/D3)</f>
        <v/>
      </c>
      <c r="F3" s="2" t="n">
        <v>-2.219223144913378</v>
      </c>
      <c r="G3" s="4">
        <f>F3*E3</f>
        <v/>
      </c>
    </row>
    <row r="4">
      <c r="A4" s="2" t="inlineStr">
        <is>
          <t>Age</t>
        </is>
      </c>
      <c r="B4" s="3" t="n"/>
      <c r="C4" s="2" t="n">
        <v>13.4</v>
      </c>
      <c r="D4" s="2" t="n">
        <v>8.604649905719581</v>
      </c>
      <c r="E4" s="4">
        <f>IF(ISBLANK(B4),0,(B4-C4)/D4)</f>
        <v/>
      </c>
      <c r="F4" s="2" t="n">
        <v>-0.3012065139937001</v>
      </c>
      <c r="G4" s="4">
        <f>F4*E4</f>
        <v/>
      </c>
    </row>
    <row r="5">
      <c r="A5" s="2" t="inlineStr">
        <is>
          <t>Distance-to-center</t>
        </is>
      </c>
      <c r="B5" s="3" t="n"/>
      <c r="C5" s="2" t="n">
        <v>7.6</v>
      </c>
      <c r="D5" s="2" t="n">
        <v>3.580223456713282</v>
      </c>
      <c r="E5" s="4">
        <f>IF(ISBLANK(B5),0,(B5-C5)/D5)</f>
        <v/>
      </c>
      <c r="F5" s="2" t="n">
        <v>0.9302025135753528</v>
      </c>
      <c r="G5" s="4">
        <f>F5*E5</f>
        <v/>
      </c>
    </row>
    <row r="6">
      <c r="A6" s="2" t="inlineStr">
        <is>
          <t>Parking</t>
        </is>
      </c>
      <c r="B6" s="3" t="n"/>
      <c r="C6" s="2" t="n">
        <v>0.6</v>
      </c>
      <c r="D6" s="2" t="n">
        <v>0.4898979485566356</v>
      </c>
      <c r="E6" s="4">
        <f>IF(ISBLANK(B6),0,(B6-C6)/D6)</f>
        <v/>
      </c>
      <c r="F6" s="2" t="n">
        <v>0.5876981249805985</v>
      </c>
      <c r="G6" s="4">
        <f>F6*E6</f>
        <v/>
      </c>
    </row>
    <row r="7">
      <c r="A7" s="2" t="inlineStr">
        <is>
          <t>Floor</t>
        </is>
      </c>
      <c r="B7" s="3" t="n"/>
      <c r="C7" s="2" t="n">
        <v>5.3</v>
      </c>
      <c r="D7" s="2" t="n">
        <v>2.968164415931166</v>
      </c>
      <c r="E7" s="4">
        <f>IF(ISBLANK(B7),0,(B7-C7)/D7)</f>
        <v/>
      </c>
      <c r="F7" s="2" t="n">
        <v>0.2550568140525996</v>
      </c>
      <c r="G7" s="4">
        <f>F7*E7</f>
        <v/>
      </c>
    </row>
    <row r="8">
      <c r="A8" s="2" t="inlineStr">
        <is>
          <t>Elevator</t>
        </is>
      </c>
      <c r="B8" s="3" t="n"/>
      <c r="C8" s="2" t="n">
        <v>0.7</v>
      </c>
      <c r="D8" s="2" t="n">
        <v>0.458257569495584</v>
      </c>
      <c r="E8" s="4">
        <f>IF(ISBLANK(B8),0,(B8-C8)/D8)</f>
        <v/>
      </c>
      <c r="F8" s="2" t="n">
        <v>1.090820841162481</v>
      </c>
      <c r="G8" s="4">
        <f>F8*E8</f>
        <v/>
      </c>
    </row>
    <row r="9">
      <c r="A9" s="2" t="inlineStr">
        <is>
          <t>Renovated</t>
        </is>
      </c>
      <c r="B9" s="3" t="n"/>
      <c r="C9" s="2" t="n">
        <v>0.5</v>
      </c>
      <c r="D9" s="2" t="n">
        <v>0.5</v>
      </c>
      <c r="E9" s="4">
        <f>IF(ISBLANK(B9),0,(B9-C9)/D9)</f>
        <v/>
      </c>
      <c r="F9" s="2" t="n">
        <v>0.2165488301119011</v>
      </c>
      <c r="G9" s="4">
        <f>F9*E9</f>
        <v/>
      </c>
    </row>
    <row r="10">
      <c r="A10" s="2" t="inlineStr">
        <is>
          <t>Balcony</t>
        </is>
      </c>
      <c r="B10" s="3" t="n"/>
      <c r="C10" s="2" t="n">
        <v>0.5</v>
      </c>
      <c r="D10" s="2" t="n">
        <v>0.5</v>
      </c>
      <c r="E10" s="4">
        <f>IF(ISBLANK(B10),0,(B10-C10)/D10)</f>
        <v/>
      </c>
      <c r="F10" s="2" t="n">
        <v>-0.2255595116988814</v>
      </c>
      <c r="G10" s="4">
        <f>F10*E10</f>
        <v/>
      </c>
    </row>
    <row r="11">
      <c r="A11" s="2" t="inlineStr">
        <is>
          <t>View</t>
        </is>
      </c>
      <c r="B11" s="3" t="n"/>
      <c r="C11" s="2" t="n">
        <v>0.5</v>
      </c>
      <c r="D11" s="2" t="n">
        <v>0.5</v>
      </c>
      <c r="E11" s="4">
        <f>IF(ISBLANK(B11),0,(B11-C11)/D11)</f>
        <v/>
      </c>
      <c r="F11" s="2" t="n">
        <v>0.2165488301119017</v>
      </c>
      <c r="G11" s="4">
        <f>F11*E11</f>
        <v/>
      </c>
    </row>
    <row r="12">
      <c r="A12" s="5" t="inlineStr">
        <is>
          <t>Intercept (قیمت پایه)</t>
        </is>
      </c>
      <c r="B12" s="6" t="n">
        <v>3.640000000000001</v>
      </c>
    </row>
    <row r="13">
      <c r="A13" s="5" t="inlineStr">
        <is>
          <t>مجموع تأثیرات</t>
        </is>
      </c>
      <c r="B13" s="4">
        <f>SUM(G2:G11)</f>
        <v/>
      </c>
    </row>
    <row r="14">
      <c r="A14" s="7" t="inlineStr">
        <is>
          <t>قیمت پیش‌بینی شده</t>
        </is>
      </c>
      <c r="B14" s="8">
        <f>B12+B13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8" customWidth="1" min="4" max="4"/>
  </cols>
  <sheetData>
    <row r="1">
      <c r="A1" s="1" t="inlineStr">
        <is>
          <t>ویژگی</t>
        </is>
      </c>
      <c r="B1" s="1" t="inlineStr">
        <is>
          <t>میانگین</t>
        </is>
      </c>
      <c r="C1" s="1" t="inlineStr">
        <is>
          <t>انحراف معیار</t>
        </is>
      </c>
      <c r="D1" s="1" t="inlineStr">
        <is>
          <t>ضریب رگرسیون</t>
        </is>
      </c>
    </row>
    <row r="2">
      <c r="A2" s="2" t="inlineStr">
        <is>
          <t>Area(m2)</t>
        </is>
      </c>
      <c r="B2" s="2" t="n">
        <v>107.5</v>
      </c>
      <c r="C2" s="2" t="n">
        <v>42.44113570582201</v>
      </c>
      <c r="D2" s="2" t="n">
        <v>3.051789660458114</v>
      </c>
    </row>
    <row r="3">
      <c r="A3" s="2" t="inlineStr">
        <is>
          <t>Rooms</t>
        </is>
      </c>
      <c r="B3" s="2" t="n">
        <v>2.3</v>
      </c>
      <c r="C3" s="2" t="n">
        <v>1.004987562112089</v>
      </c>
      <c r="D3" s="2" t="n">
        <v>-2.219223144913378</v>
      </c>
    </row>
    <row r="4">
      <c r="A4" s="2" t="inlineStr">
        <is>
          <t>Age</t>
        </is>
      </c>
      <c r="B4" s="2" t="n">
        <v>13.4</v>
      </c>
      <c r="C4" s="2" t="n">
        <v>8.604649905719581</v>
      </c>
      <c r="D4" s="2" t="n">
        <v>-0.3012065139937001</v>
      </c>
    </row>
    <row r="5">
      <c r="A5" s="2" t="inlineStr">
        <is>
          <t>Distance-to-center</t>
        </is>
      </c>
      <c r="B5" s="2" t="n">
        <v>7.6</v>
      </c>
      <c r="C5" s="2" t="n">
        <v>3.580223456713282</v>
      </c>
      <c r="D5" s="2" t="n">
        <v>0.9302025135753528</v>
      </c>
    </row>
    <row r="6">
      <c r="A6" s="2" t="inlineStr">
        <is>
          <t>Parking</t>
        </is>
      </c>
      <c r="B6" s="2" t="n">
        <v>0.6</v>
      </c>
      <c r="C6" s="2" t="n">
        <v>0.4898979485566356</v>
      </c>
      <c r="D6" s="2" t="n">
        <v>0.5876981249805985</v>
      </c>
    </row>
    <row r="7">
      <c r="A7" s="2" t="inlineStr">
        <is>
          <t>Floor</t>
        </is>
      </c>
      <c r="B7" s="2" t="n">
        <v>5.3</v>
      </c>
      <c r="C7" s="2" t="n">
        <v>2.968164415931166</v>
      </c>
      <c r="D7" s="2" t="n">
        <v>0.2550568140525996</v>
      </c>
    </row>
    <row r="8">
      <c r="A8" s="2" t="inlineStr">
        <is>
          <t>Elevator</t>
        </is>
      </c>
      <c r="B8" s="2" t="n">
        <v>0.7</v>
      </c>
      <c r="C8" s="2" t="n">
        <v>0.458257569495584</v>
      </c>
      <c r="D8" s="2" t="n">
        <v>1.090820841162481</v>
      </c>
    </row>
    <row r="9">
      <c r="A9" s="2" t="inlineStr">
        <is>
          <t>Renovated</t>
        </is>
      </c>
      <c r="B9" s="2" t="n">
        <v>0.5</v>
      </c>
      <c r="C9" s="2" t="n">
        <v>0.5</v>
      </c>
      <c r="D9" s="2" t="n">
        <v>0.2165488301119011</v>
      </c>
    </row>
    <row r="10">
      <c r="A10" s="2" t="inlineStr">
        <is>
          <t>Balcony</t>
        </is>
      </c>
      <c r="B10" s="2" t="n">
        <v>0.5</v>
      </c>
      <c r="C10" s="2" t="n">
        <v>0.5</v>
      </c>
      <c r="D10" s="2" t="n">
        <v>-0.2255595116988814</v>
      </c>
    </row>
    <row r="11">
      <c r="A11" s="2" t="inlineStr">
        <is>
          <t>View</t>
        </is>
      </c>
      <c r="B11" s="2" t="n">
        <v>0.5</v>
      </c>
      <c r="C11" s="2" t="n">
        <v>0.5</v>
      </c>
      <c r="D11" s="2" t="n">
        <v>0.2165488301119017</v>
      </c>
    </row>
    <row r="12">
      <c r="A12" s="5" t="inlineStr">
        <is>
          <t>Intercept</t>
        </is>
      </c>
      <c r="B12" s="9" t="n">
        <v>3.640000000000001</v>
      </c>
    </row>
    <row r="14">
      <c r="A14" s="5" t="inlineStr">
        <is>
          <t>توضیحات:</t>
        </is>
      </c>
    </row>
    <row r="15">
      <c r="A15" t="inlineStr">
        <is>
          <t>فرمول محاسبه قیمت:</t>
        </is>
      </c>
    </row>
    <row r="16">
      <c r="A16" t="inlineStr">
        <is>
          <t>Price = Intercept + Σ(Coefficient_i × Normalized_Feature_i)</t>
        </is>
      </c>
    </row>
    <row r="17">
      <c r="A17" t="inlineStr"/>
    </row>
    <row r="18">
      <c r="A18" t="inlineStr">
        <is>
          <t>فرمول نرمال‌سازی:</t>
        </is>
      </c>
    </row>
    <row r="19">
      <c r="A19" t="inlineStr">
        <is>
          <t>Normalized_Feature = (Feature_Value - Mean) / Std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2025-12-02T19:44:35Z</dcterms:created>
  <dcterms:modified xmlns:dcterms="http://purl.org/dc/terms/" xmlns:xsi="http://www.w3.org/2001/XMLSchema-instance" xsi:type="dcterms:W3CDTF">2025-12-02T19:44:35Z</dcterms:modified>
</cp:coreProperties>
</file>